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06F32F6-7CA7-4CB0-B07F-260B4BB60BD4}" xr6:coauthVersionLast="47" xr6:coauthVersionMax="47" xr10:uidLastSave="{00000000-0000-0000-0000-000000000000}"/>
  <bookViews>
    <workbookView xWindow="28680" yWindow="-120" windowWidth="21840" windowHeight="132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9" i="1"/>
  <c r="F20" i="1"/>
  <c r="F21" i="1"/>
  <c r="F22" i="1"/>
  <c r="F23" i="1"/>
  <c r="E18" i="1"/>
  <c r="E19" i="1"/>
  <c r="E20" i="1"/>
  <c r="E21" i="1"/>
  <c r="E22" i="1"/>
  <c r="E23" i="1"/>
  <c r="E17" i="1" l="1"/>
</calcChain>
</file>

<file path=xl/sharedStrings.xml><?xml version="1.0" encoding="utf-8"?>
<sst xmlns="http://schemas.openxmlformats.org/spreadsheetml/2006/main" count="27" uniqueCount="27">
  <si>
    <t>Sun Teeth</t>
  </si>
  <si>
    <t>Planet Teeth</t>
  </si>
  <si>
    <t>Ring Teeth</t>
  </si>
  <si>
    <t>v1</t>
  </si>
  <si>
    <t>v2</t>
  </si>
  <si>
    <t>Out Diam.</t>
  </si>
  <si>
    <t>v3</t>
  </si>
  <si>
    <t>v4</t>
  </si>
  <si>
    <t>Pressure Angle</t>
  </si>
  <si>
    <t>Module</t>
  </si>
  <si>
    <t>Planetary Gear System</t>
  </si>
  <si>
    <t>reduction ratio</t>
  </si>
  <si>
    <t>Bearings</t>
  </si>
  <si>
    <t>Name</t>
  </si>
  <si>
    <t>Inner</t>
  </si>
  <si>
    <t>Outer</t>
  </si>
  <si>
    <t>Thickness</t>
  </si>
  <si>
    <t>6806RS</t>
  </si>
  <si>
    <t>Steps Per Rev</t>
  </si>
  <si>
    <t>Red Ratio</t>
  </si>
  <si>
    <t>Stages</t>
  </si>
  <si>
    <t>Steps Per deg</t>
  </si>
  <si>
    <t>Stepper Num</t>
  </si>
  <si>
    <t>Total Red Ratio</t>
  </si>
  <si>
    <t>v5</t>
  </si>
  <si>
    <t>steps per rev</t>
  </si>
  <si>
    <t>(shaft) steps per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</si>
</sst>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8"/>
      <color rgb="FFFF7E3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J5" sqref="J5"/>
    </sheetView>
  </sheetViews>
  <sheetFormatPr defaultRowHeight="14.4" x14ac:dyDescent="0.3"/>
  <cols>
    <col min="1" max="1" width="18.44140625" customWidth="1"/>
    <col min="2" max="2" width="14.5546875" customWidth="1"/>
    <col min="3" max="3" width="11.5546875" customWidth="1"/>
    <col min="4" max="4" width="11" customWidth="1"/>
    <col min="5" max="5" width="13.5546875" customWidth="1"/>
    <col min="6" max="6" width="15.44140625" customWidth="1"/>
  </cols>
  <sheetData>
    <row r="1" spans="1:7" x14ac:dyDescent="0.3">
      <c r="A1" s="11" t="s">
        <v>10</v>
      </c>
      <c r="B1" s="11"/>
      <c r="C1" s="11"/>
      <c r="D1" s="11"/>
      <c r="E1" s="11"/>
    </row>
    <row r="2" spans="1:7" x14ac:dyDescent="0.3">
      <c r="B2" s="2" t="s">
        <v>3</v>
      </c>
      <c r="C2" s="2" t="s">
        <v>4</v>
      </c>
      <c r="D2" s="3" t="s">
        <v>6</v>
      </c>
      <c r="E2" s="3" t="s">
        <v>7</v>
      </c>
      <c r="F2" s="10" t="s">
        <v>24</v>
      </c>
    </row>
    <row r="3" spans="1:7" x14ac:dyDescent="0.3">
      <c r="A3" s="1" t="s">
        <v>0</v>
      </c>
      <c r="B3">
        <v>21</v>
      </c>
      <c r="C3">
        <v>17</v>
      </c>
      <c r="D3" s="4">
        <v>13</v>
      </c>
      <c r="E3">
        <v>10</v>
      </c>
      <c r="F3">
        <v>15</v>
      </c>
      <c r="G3">
        <v>15</v>
      </c>
    </row>
    <row r="4" spans="1:7" x14ac:dyDescent="0.3">
      <c r="A4" s="1" t="s">
        <v>1</v>
      </c>
      <c r="B4">
        <v>24</v>
      </c>
      <c r="C4">
        <v>19</v>
      </c>
      <c r="D4" s="4">
        <v>14</v>
      </c>
      <c r="E4">
        <v>14</v>
      </c>
      <c r="F4">
        <v>20</v>
      </c>
      <c r="G4">
        <v>22</v>
      </c>
    </row>
    <row r="5" spans="1:7" x14ac:dyDescent="0.3">
      <c r="A5" s="1" t="s">
        <v>2</v>
      </c>
      <c r="B5">
        <v>69</v>
      </c>
      <c r="C5">
        <v>55</v>
      </c>
      <c r="D5" s="4">
        <v>41</v>
      </c>
      <c r="E5">
        <v>38</v>
      </c>
      <c r="F5">
        <v>55</v>
      </c>
      <c r="G5">
        <v>60</v>
      </c>
    </row>
    <row r="6" spans="1:7" x14ac:dyDescent="0.3">
      <c r="A6" s="5" t="s">
        <v>5</v>
      </c>
      <c r="B6" s="5">
        <v>80</v>
      </c>
      <c r="C6" s="5">
        <v>60</v>
      </c>
      <c r="D6" s="5">
        <v>46</v>
      </c>
      <c r="E6" s="5">
        <v>38</v>
      </c>
      <c r="G6" s="5">
        <v>5</v>
      </c>
    </row>
    <row r="7" spans="1:7" x14ac:dyDescent="0.3">
      <c r="A7" s="6" t="s">
        <v>8</v>
      </c>
      <c r="B7" s="7"/>
      <c r="C7" s="7"/>
      <c r="D7" s="7">
        <v>20</v>
      </c>
      <c r="E7" s="7"/>
      <c r="F7">
        <v>20</v>
      </c>
      <c r="G7">
        <v>20</v>
      </c>
    </row>
    <row r="8" spans="1:7" x14ac:dyDescent="0.3">
      <c r="A8" s="6" t="s">
        <v>9</v>
      </c>
      <c r="B8" s="7">
        <v>1</v>
      </c>
      <c r="C8" s="7">
        <v>1</v>
      </c>
      <c r="D8" s="7">
        <v>1</v>
      </c>
      <c r="E8" s="7">
        <v>0.9</v>
      </c>
      <c r="F8" s="7">
        <v>0.9</v>
      </c>
      <c r="G8" s="7">
        <v>0.9</v>
      </c>
    </row>
    <row r="9" spans="1:7" x14ac:dyDescent="0.3">
      <c r="A9" t="s">
        <v>11</v>
      </c>
      <c r="C9">
        <v>4.2350000000000003</v>
      </c>
      <c r="D9">
        <v>4.1538000000000004</v>
      </c>
      <c r="F9" s="5">
        <v>4.6669999999999998</v>
      </c>
      <c r="G9" s="5">
        <v>5</v>
      </c>
    </row>
    <row r="10" spans="1:7" x14ac:dyDescent="0.3">
      <c r="A10" t="s">
        <v>25</v>
      </c>
      <c r="D10">
        <v>830.76</v>
      </c>
    </row>
    <row r="11" spans="1:7" x14ac:dyDescent="0.3">
      <c r="A11" t="s">
        <v>26</v>
      </c>
      <c r="D11" s="8">
        <v>3450.81</v>
      </c>
    </row>
    <row r="12" spans="1:7" x14ac:dyDescent="0.3">
      <c r="A12" s="11" t="s">
        <v>12</v>
      </c>
      <c r="B12" s="11"/>
      <c r="C12" s="11"/>
      <c r="D12" s="11"/>
      <c r="E12" s="11"/>
    </row>
    <row r="13" spans="1:7" x14ac:dyDescent="0.3">
      <c r="A13" s="1" t="s">
        <v>13</v>
      </c>
      <c r="B13" s="1" t="s">
        <v>14</v>
      </c>
      <c r="C13" s="1" t="s">
        <v>15</v>
      </c>
      <c r="D13" s="1" t="s">
        <v>16</v>
      </c>
    </row>
    <row r="14" spans="1:7" x14ac:dyDescent="0.3">
      <c r="A14" t="s">
        <v>17</v>
      </c>
      <c r="B14">
        <v>30</v>
      </c>
      <c r="C14">
        <v>42</v>
      </c>
      <c r="D14">
        <v>7</v>
      </c>
    </row>
    <row r="16" spans="1:7" x14ac:dyDescent="0.3">
      <c r="A16" s="1" t="s">
        <v>22</v>
      </c>
      <c r="B16" s="9" t="s">
        <v>18</v>
      </c>
      <c r="C16" s="9" t="s">
        <v>19</v>
      </c>
      <c r="D16" s="9" t="s">
        <v>20</v>
      </c>
      <c r="E16" s="9" t="s">
        <v>21</v>
      </c>
      <c r="F16" s="1" t="s">
        <v>23</v>
      </c>
    </row>
    <row r="17" spans="1:6" x14ac:dyDescent="0.3">
      <c r="A17">
        <v>1</v>
      </c>
      <c r="B17">
        <v>400</v>
      </c>
      <c r="C17">
        <v>4.1538000000000004</v>
      </c>
      <c r="D17">
        <v>2</v>
      </c>
      <c r="E17">
        <f>(B17*C17*D17)/360</f>
        <v>9.2306666666666679</v>
      </c>
      <c r="F17">
        <f>POWER(C17,D17)</f>
        <v>17.254054440000004</v>
      </c>
    </row>
    <row r="18" spans="1:6" x14ac:dyDescent="0.3">
      <c r="A18">
        <v>2</v>
      </c>
      <c r="B18">
        <v>400</v>
      </c>
      <c r="C18">
        <v>4.1538000000000004</v>
      </c>
      <c r="D18">
        <v>2</v>
      </c>
      <c r="E18">
        <f t="shared" ref="E18:E23" si="0">(B18*C18*D18)/360</f>
        <v>9.2306666666666679</v>
      </c>
      <c r="F18">
        <f>POWER(C18,D18)</f>
        <v>17.254054440000004</v>
      </c>
    </row>
    <row r="19" spans="1:6" x14ac:dyDescent="0.3">
      <c r="A19">
        <v>3</v>
      </c>
      <c r="B19">
        <v>400</v>
      </c>
      <c r="C19">
        <v>4.1538000000000004</v>
      </c>
      <c r="D19">
        <v>2</v>
      </c>
      <c r="E19">
        <f t="shared" si="0"/>
        <v>9.2306666666666679</v>
      </c>
      <c r="F19">
        <f t="shared" ref="F19:F23" si="1">POWER(C19,D19)</f>
        <v>17.254054440000004</v>
      </c>
    </row>
    <row r="20" spans="1:6" x14ac:dyDescent="0.3">
      <c r="A20">
        <v>4</v>
      </c>
      <c r="B20">
        <v>400</v>
      </c>
      <c r="C20">
        <v>4.1538000000000004</v>
      </c>
      <c r="D20">
        <v>2</v>
      </c>
      <c r="E20">
        <f t="shared" si="0"/>
        <v>9.2306666666666679</v>
      </c>
      <c r="F20">
        <f t="shared" si="1"/>
        <v>17.254054440000004</v>
      </c>
    </row>
    <row r="21" spans="1:6" x14ac:dyDescent="0.3">
      <c r="A21">
        <v>5</v>
      </c>
      <c r="B21">
        <v>400</v>
      </c>
      <c r="C21">
        <v>4.1538000000000004</v>
      </c>
      <c r="D21">
        <v>2</v>
      </c>
      <c r="E21">
        <f t="shared" si="0"/>
        <v>9.2306666666666679</v>
      </c>
      <c r="F21">
        <f t="shared" si="1"/>
        <v>17.254054440000004</v>
      </c>
    </row>
    <row r="22" spans="1:6" x14ac:dyDescent="0.3">
      <c r="A22">
        <v>6</v>
      </c>
      <c r="B22">
        <v>400</v>
      </c>
      <c r="C22">
        <v>4.1538000000000004</v>
      </c>
      <c r="D22">
        <v>2</v>
      </c>
      <c r="E22">
        <f t="shared" si="0"/>
        <v>9.2306666666666679</v>
      </c>
      <c r="F22">
        <f t="shared" si="1"/>
        <v>17.254054440000004</v>
      </c>
    </row>
    <row r="23" spans="1:6" x14ac:dyDescent="0.3">
      <c r="A23">
        <v>7</v>
      </c>
      <c r="B23">
        <v>400</v>
      </c>
      <c r="C23">
        <v>1</v>
      </c>
      <c r="D23">
        <v>1</v>
      </c>
      <c r="E23">
        <f t="shared" si="0"/>
        <v>1.1111111111111112</v>
      </c>
      <c r="F23">
        <f t="shared" si="1"/>
        <v>1</v>
      </c>
    </row>
  </sheetData>
  <mergeCells count="2">
    <mergeCell ref="A1:E1"/>
    <mergeCell ref="A12:E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2025-10-05T15:32:54Z</dcterms:modified>
</cp:coreProperties>
</file>